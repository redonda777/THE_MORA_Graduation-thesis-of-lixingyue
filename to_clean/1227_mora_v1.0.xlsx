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•上德不德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□□□□\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□□□□\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□□□□□\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□□□□□\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□□□\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□□□□□\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□□□\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居亓實\</t>
        </is>
      </c>
      <c r="I24" t="inlineStr">
        <is>
          <t>居亓實\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>
        <is>
          <t>SPC_ORD</t>
        </is>
      </c>
      <c r="I27" t="inlineStr">
        <is>
          <t>SPC_ORD</t>
        </is>
      </c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•昔得一者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>
        <is>
          <t>SPC_ORD</t>
        </is>
      </c>
      <c r="I50" t="inlineStr">
        <is>
          <t>SPC_ORD</t>
        </is>
      </c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•反者\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□□□\</t>
        </is>
      </c>
      <c r="I51" t="inlineStr">
        <is>
          <t>反也者</t>
        </is>
      </c>
      <c r="J51" t="inlineStr">
        <is>
          <t>反者\</t>
        </is>
      </c>
      <c r="K51" t="inlineStr">
        <is>
          <t>反者\</t>
        </is>
      </c>
      <c r="L51" t="inlineStr">
        <is>
          <t>反者\</t>
        </is>
      </c>
      <c r="M51" t="inlineStr">
        <is>
          <t>~</t>
        </is>
      </c>
      <c r="N51" t="inlineStr">
        <is>
          <t>反者\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弱者\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弱者\</t>
        </is>
      </c>
      <c r="K53" t="inlineStr">
        <is>
          <t>弱者\</t>
        </is>
      </c>
      <c r="L53" t="inlineStr">
        <is>
          <t>弱者\</t>
        </is>
      </c>
      <c r="M53" t="inlineStr">
        <is>
          <t>~</t>
        </is>
      </c>
      <c r="N53" t="inlineStr">
        <is>
          <t>弱者\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天下之物生於有\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天□□□□□□\</t>
        </is>
      </c>
      <c r="I55" t="inlineStr">
        <is>
          <t>天下之物生於有\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>
        <f>生於無</f>
        <v/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>
        <f>□於无</f>
        <v/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>
        <is>
          <t>SPC_ORD</t>
        </is>
      </c>
      <c r="I57" t="inlineStr">
        <is>
          <t>SPC_ORD</t>
        </is>
      </c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•上士聞道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堇能行於亓中\</t>
        </is>
      </c>
      <c r="E59" t="inlineStr">
        <is>
          <t>~</t>
        </is>
      </c>
      <c r="F59" t="inlineStr">
        <is>
          <t>堇能行於亓中\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>
        <f>士昏道</f>
        <v/>
      </c>
      <c r="E60" t="inlineStr">
        <is>
          <t>~</t>
        </is>
      </c>
      <c r="F60">
        <f>士昏道</f>
        <v/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𨒈道女繢，%</t>
        </is>
      </c>
      <c r="E68" t="inlineStr">
        <is>
          <t>~</t>
        </is>
      </c>
      <c r="F68" t="inlineStr">
        <is>
          <t>𨒈道女繢，%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夷道若類，%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□道若退；%</t>
        </is>
      </c>
      <c r="E69" t="inlineStr">
        <is>
          <t>~</t>
        </is>
      </c>
      <c r="F69" t="inlineStr">
        <is>
          <t>□道若退；%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進道若退；%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>
        <is>
          <t>SPC_ORD</t>
        </is>
      </c>
      <c r="I82" t="inlineStr">
        <is>
          <t>SPC_ORD</t>
        </is>
      </c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•道生一\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□□□\</t>
        </is>
      </c>
      <c r="I83" t="inlineStr">
        <is>
          <t>道生一\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>
        <f>生二\</f>
        <v/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□□□\</t>
        </is>
      </c>
      <c r="I84">
        <f>生二\</f>
        <v/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>
        <f>生三\</f>
        <v/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□□□\</t>
        </is>
      </c>
      <c r="I85">
        <f>生三\</f>
        <v/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>
        <f>生萬=\</f>
        <v/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□□□□\</t>
        </is>
      </c>
      <c r="I86">
        <f>生□□\</f>
        <v/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□□□□□□\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>
        <f>之而益</f>
        <v/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□□□□□\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□□□□□\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>
        <is>
          <t>SPC_ORD</t>
        </is>
      </c>
      <c r="I98" t="inlineStr">
        <is>
          <t>SPC_ORD</t>
        </is>
      </c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•天下之至柔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馳騁乎天下□□□\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不□□□\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□□□□\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>
        <is>
          <t>SPC_ORD</t>
        </is>
      </c>
      <c r="I107" t="inlineStr">
        <is>
          <t>SPC_ORD</t>
        </is>
      </c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•身與名孰親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甚□□□□\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>
        <is>
          <t>SPC_ORD</t>
        </is>
      </c>
      <c r="I116" t="inlineStr">
        <is>
          <t>SPC_ORD</t>
        </is>
      </c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•大成如缺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□□□□\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□□□□\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亓□□□\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大攷若㑁，%</t>
        </is>
      </c>
      <c r="E121" t="inlineStr">
        <is>
          <t>~</t>
        </is>
      </c>
      <c r="F121" t="inlineStr">
        <is>
          <t>大攷若㑁，%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□巧如拙\%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大成若詘，%</t>
        </is>
      </c>
      <c r="E122" t="inlineStr">
        <is>
          <t>~</t>
        </is>
      </c>
      <c r="F122" t="inlineStr">
        <is>
          <t>大成若詘，%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□□□□\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大植若屈。%</t>
        </is>
      </c>
      <c r="E123" t="inlineStr">
        <is>
          <t>~</t>
        </is>
      </c>
      <c r="F123" t="inlineStr">
        <is>
          <t>大植若屈。%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□□□絀。%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趮朕寒\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□□□\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□□□□□□□□\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>
        <is>
          <t>SPC_ORD</t>
        </is>
      </c>
      <c r="I128" t="inlineStr">
        <is>
          <t>SPC_ORD</t>
        </is>
      </c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•天下有道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•天下有道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•罪莫大於可欲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禍□□□□□□\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□□□□□□\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□□□□□\</t>
        </is>
      </c>
      <c r="I136" t="inlineStr">
        <is>
          <t>□□□□□\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>
        <is>
          <t>SPC_ORD</t>
        </is>
      </c>
      <c r="I138" t="inlineStr">
        <is>
          <t>SPC_ORD</t>
        </is>
      </c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•不岀於戶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亓□□□□\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□□□□□□□□\</t>
        </is>
      </c>
      <c r="I145" t="inlineStr">
        <is>
          <t>□□□□□□□□\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□□□□\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弗爲而□\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>
        <is>
          <t>SPC_ORD</t>
        </is>
      </c>
      <c r="I148" t="inlineStr">
        <is>
          <t>SPC_ORD</t>
        </is>
      </c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•爲學者日益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爲道者日損\</t>
        </is>
      </c>
      <c r="D150" t="inlineStr">
        <is>
          <t>爲道者日員\</t>
        </is>
      </c>
      <c r="E150" t="inlineStr">
        <is>
          <t>~</t>
        </is>
      </c>
      <c r="F150" t="inlineStr">
        <is>
          <t>爲道者日員\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聞道者日云\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>
        <f>】之有損之</f>
        <v/>
      </c>
      <c r="D151">
        <f>之或員</f>
        <v/>
      </c>
      <c r="E151" t="inlineStr">
        <is>
          <t>~</t>
        </is>
      </c>
      <c r="F151">
        <f>之或員</f>
        <v/>
      </c>
      <c r="G151" t="inlineStr">
        <is>
          <t>~</t>
        </is>
      </c>
      <c r="H151" t="inlineStr"/>
      <c r="I151">
        <f>之有云</f>
        <v/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至於無□\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以至於无□\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□□□□□□\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>
        <is>
          <t>SPC_ORD</t>
        </is>
      </c>
      <c r="I158" t="inlineStr">
        <is>
          <t>SPC_ORD</t>
        </is>
      </c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•】聖人恒無心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□□□□□\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善□□□\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不善者亦善□\</t>
        </is>
      </c>
      <c r="I162" t="inlineStr">
        <is>
          <t>□□□□□□\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□□□\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□□□□\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□□□□□□\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□□□□□\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□生皆注亓□□□\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□□□□□\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>
        <is>
          <t>SPC_ORD</t>
        </is>
      </c>
      <c r="I172" t="inlineStr">
        <is>
          <t>SPC_ORD</t>
        </is>
      </c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•出生入死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□生□□\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□□□□有□\</t>
        </is>
      </c>
      <c r="I174" t="inlineStr">
        <is>
          <t>生之□□□□\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而民生=</t>
        </is>
      </c>
      <c r="I176" t="inlineStr">
        <is>
          <t>而民生=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以亓生=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𧱃无□□□□\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兵无所容□□\</t>
        </is>
      </c>
      <c r="I185" t="inlineStr">
        <is>
          <t>兵□□□□□\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以亓无□□□\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>
        <is>
          <t>SPC_ORD</t>
        </is>
      </c>
      <c r="I188" t="inlineStr">
        <is>
          <t>SPC_ORD</t>
        </is>
      </c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•道生之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•道生之\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物刑之\</t>
        </is>
      </c>
      <c r="I191" t="inlineStr">
        <is>
          <t>物刑之\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是以萬物奠道而貴□\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•道生之畜之</t>
        </is>
      </c>
      <c r="I198" t="inlineStr">
        <is>
          <t>道生之畜□\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□□□□\</t>
        </is>
      </c>
      <c r="I202" t="inlineStr">
        <is>
          <t>養之復□\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□□□□\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□□□□\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>
        <is>
          <t>SPC_ORD</t>
        </is>
      </c>
      <c r="I207" t="inlineStr">
        <is>
          <t>SPC_ORD</t>
        </is>
      </c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•天下有始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閟亓門，%</t>
        </is>
      </c>
      <c r="E215" t="inlineStr">
        <is>
          <t>~</t>
        </is>
      </c>
      <c r="F215" t="inlineStr">
        <is>
          <t>閟亓門，%</t>
        </is>
      </c>
      <c r="G215" t="inlineStr">
        <is>
          <t>~</t>
        </is>
      </c>
      <c r="H215" t="inlineStr">
        <is>
          <t>•塞亓[門忈b]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用□□\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□□□□\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>
        <is>
          <t>SPC_ORD</t>
        </is>
      </c>
      <c r="I227" t="inlineStr">
        <is>
          <t>SPC_ORD</t>
        </is>
      </c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•使我介有智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•使我𢴲有知也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貨□□□\</t>
        </is>
      </c>
      <c r="I239" t="inlineStr">
        <is>
          <t>而齎財□□\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□□□□\</t>
        </is>
      </c>
      <c r="I240" t="inlineStr">
        <is>
          <t>□□盜□\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□□□\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>
        <is>
          <t>SPC_ORD</t>
        </is>
      </c>
      <c r="I242" t="inlineStr">
        <is>
          <t>SPC_ORD</t>
        </is>
      </c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•善建不拔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善建者□□\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□□□□□\</t>
        </is>
      </c>
      <c r="I244" t="inlineStr">
        <is>
          <t>□□□□□\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子孫以祭祀□□\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□□□\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□□□□\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□□□\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脩之□\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□□□□\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□□□\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□□□□\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□□□□\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□□□□\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□□□國\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以天□觀□□\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𫊟可以智天□□□□\</t>
        </is>
      </c>
      <c r="E261" t="inlineStr">
        <is>
          <t>~</t>
        </is>
      </c>
      <c r="F261" t="inlineStr">
        <is>
          <t>𫊟可以智天□□□□\</t>
        </is>
      </c>
      <c r="G261" t="inlineStr">
        <is>
          <t>~</t>
        </is>
      </c>
      <c r="H261" t="inlineStr">
        <is>
          <t>□□□□□□□□□\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>
        <is>
          <t>SPC_ORD</t>
        </is>
      </c>
      <c r="I263" t="inlineStr">
        <is>
          <t>SPC_ORD</t>
        </is>
      </c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•含德之厚者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未知牝□□□□□□\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謂之不=\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胃之不=\</t>
        </is>
      </c>
      <c r="I279" t="inlineStr">
        <is>
          <t>胃之不=\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道□□□\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>
        <is>
          <t>SPC_ORD</t>
        </is>
      </c>
      <c r="I281" t="inlineStr">
        <is>
          <t>SPC_ORD</t>
        </is>
      </c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•智者弗言\</t>
        </is>
      </c>
      <c r="D282" t="inlineStr">
        <is>
          <t>智之者弗言\</t>
        </is>
      </c>
      <c r="E282" t="inlineStr">
        <is>
          <t>智之者弗言\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□□弗言\</t>
        </is>
      </c>
      <c r="I282" t="inlineStr">
        <is>
          <t>知者弗言\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>
        <f>者弗智</f>
        <v/>
      </c>
      <c r="D283">
        <f>之者弗智</f>
        <v/>
      </c>
      <c r="E283">
        <f>之者弗智</f>
        <v/>
      </c>
      <c r="F283" t="inlineStr">
        <is>
          <t>~</t>
        </is>
      </c>
      <c r="G283" t="inlineStr">
        <is>
          <t>~</t>
        </is>
      </c>
      <c r="H283">
        <f>者弗知</f>
        <v/>
      </c>
      <c r="I283">
        <f>者弗知</f>
        <v/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和其光，%</t>
        </is>
      </c>
      <c r="D286" t="inlineStr">
        <is>
          <t>和亓光，%</t>
        </is>
      </c>
      <c r="E286" t="inlineStr">
        <is>
          <t>和亓光，%</t>
        </is>
      </c>
      <c r="F286" t="inlineStr">
        <is>
          <t>~</t>
        </is>
      </c>
      <c r="G286" t="inlineStr">
        <is>
          <t>~</t>
        </is>
      </c>
      <c r="H286" t="inlineStr">
        <is>
          <t>□其光，%</t>
        </is>
      </c>
      <c r="I286" t="inlineStr">
        <is>
          <t>和亓光，%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同其畛，%</t>
        </is>
      </c>
      <c r="D287" t="inlineStr">
        <is>
          <t>迵亓[((幺言)s斤)z]，%</t>
        </is>
      </c>
      <c r="E287" t="inlineStr">
        <is>
          <t>迵亓[((幺言)s斤)z]，%</t>
        </is>
      </c>
      <c r="F287" t="inlineStr">
        <is>
          <t>~</t>
        </is>
      </c>
      <c r="G287" t="inlineStr">
        <is>
          <t>~</t>
        </is>
      </c>
      <c r="H287" t="inlineStr">
        <is>
          <t>同亓𡑁，%</t>
        </is>
      </c>
      <c r="I287" t="inlineStr">
        <is>
          <t>同亓塵，%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挫其兑，%</t>
        </is>
      </c>
      <c r="D288" t="inlineStr">
        <is>
          <t>[畜刂]亓[尔賏s]，%</t>
        </is>
      </c>
      <c r="E288" t="inlineStr">
        <is>
          <t>[畜刂]亓[尔賏s]，%</t>
        </is>
      </c>
      <c r="F288" t="inlineStr">
        <is>
          <t>~</t>
        </is>
      </c>
      <c r="G288" t="inlineStr">
        <is>
          <t>~</t>
        </is>
      </c>
      <c r="H288" t="inlineStr">
        <is>
          <t>坐亓閱，%</t>
        </is>
      </c>
      <c r="I288" t="inlineStr">
        <is>
          <t>銼亓兑，%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解其紛，%</t>
        </is>
      </c>
      <c r="D289" t="inlineStr">
        <is>
          <t>解亓紛，%</t>
        </is>
      </c>
      <c r="E289" t="inlineStr">
        <is>
          <t>解亓紛，%</t>
        </is>
      </c>
      <c r="F289" t="inlineStr">
        <is>
          <t>~</t>
        </is>
      </c>
      <c r="G289" t="inlineStr">
        <is>
          <t>~</t>
        </is>
      </c>
      <c r="H289" t="inlineStr">
        <is>
          <t>解亓紛，%</t>
        </is>
      </c>
      <c r="I289" t="inlineStr">
        <is>
          <t>而解亓紛，%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>
        <is>
          <t>SPC_ORD</t>
        </is>
      </c>
      <c r="I298" t="inlineStr">
        <is>
          <t>SPC_ORD</t>
        </is>
      </c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•以正之國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•以正之邦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夫天多忌諱\</t>
        </is>
      </c>
      <c r="D304" t="inlineStr">
        <is>
          <t>夫天多[曰丌s]韋\</t>
        </is>
      </c>
      <c r="E304" t="inlineStr">
        <is>
          <t>夫天多[曰丌s]韋\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夫天下□□諱\</t>
        </is>
      </c>
      <c r="I304" t="inlineStr">
        <is>
          <t>夫天下多忌諱\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民多利器\</t>
        </is>
      </c>
      <c r="D306" t="inlineStr">
        <is>
          <t>民多利器\</t>
        </is>
      </c>
      <c r="E306" t="inlineStr">
        <is>
          <t>民多利器\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民多利器\</t>
        </is>
      </c>
      <c r="I306" t="inlineStr">
        <is>
          <t>民多利器\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人多智\</t>
        </is>
      </c>
      <c r="D308" t="inlineStr">
        <is>
          <t>人多智\</t>
        </is>
      </c>
      <c r="E308" t="inlineStr">
        <is>
          <t>人多智\</t>
        </is>
      </c>
      <c r="F308" t="inlineStr">
        <is>
          <t>~</t>
        </is>
      </c>
      <c r="G308" t="inlineStr">
        <is>
          <t>~</t>
        </is>
      </c>
      <c r="H308" t="inlineStr">
        <is>
          <t>人多知\</t>
        </is>
      </c>
      <c r="I308" t="inlineStr">
        <is>
          <t>□□□\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灋物茲章\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□□□□\</t>
        </is>
      </c>
      <c r="I310" t="inlineStr">
        <is>
          <t>□物茲章\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□□□□□□□\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我无事民□□\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□□□□□□□□\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>
        <is>
          <t>SPC_ORD</t>
        </is>
      </c>
      <c r="I317" t="inlineStr">
        <is>
          <t>SPC_ORD</t>
        </is>
      </c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•其正昏=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□□□□\</t>
        </is>
      </c>
      <c r="I318" t="inlineStr">
        <is>
          <t>亓正[門糸b]=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其民萅=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□□□□\</t>
        </is>
      </c>
      <c r="I319" t="inlineStr">
        <is>
          <t>亓民屯=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其正計=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亓正察=</t>
        </is>
      </c>
      <c r="I320" t="inlineStr">
        <is>
          <t>亓正察=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其國夬=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亓邦夬=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福，%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□\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禍之所倚；%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禍，%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福之所伏。%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其無正\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>
        <f>復爲倚</f>
        <v/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>
        <is>
          <t>SPC_ORD</t>
        </is>
      </c>
      <c r="I336" t="inlineStr">
        <is>
          <t>SPC_ORD</t>
        </is>
      </c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•方而不割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是以蚤=\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是以蚤=\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服=是謂重=積\</t>
        </is>
      </c>
      <c r="D345" t="inlineStr">
        <is>
          <t>是胃□□□\</t>
        </is>
      </c>
      <c r="E345" t="inlineStr">
        <is>
          <t>~</t>
        </is>
      </c>
      <c r="F345" t="inlineStr">
        <is>
          <t>是胃□□□\</t>
        </is>
      </c>
      <c r="G345" t="inlineStr">
        <is>
          <t>~</t>
        </is>
      </c>
      <c r="H345" t="inlineStr"/>
      <c r="I345" t="inlineStr">
        <is>
          <t>服=是胃重=積\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>
        <f>德=則無=不\</f>
        <v/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>
        <f>克=則莫=智=\</f>
        <v/>
      </c>
      <c r="D347" t="inlineStr">
        <is>
          <t>克=則莫=智=\</t>
        </is>
      </c>
      <c r="E347" t="inlineStr">
        <is>
          <t>~</t>
        </is>
      </c>
      <c r="F347" t="inlineStr">
        <is>
          <t>克=則莫=智=\</t>
        </is>
      </c>
      <c r="G347" t="inlineStr">
        <is>
          <t>~</t>
        </is>
      </c>
      <c r="H347" t="inlineStr"/>
      <c r="I347" t="inlineStr">
        <is>
          <t>□□□□□莫=知=\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其=極=\</t>
        </is>
      </c>
      <c r="D348" t="inlineStr">
        <is>
          <t>亓=亙=\</t>
        </is>
      </c>
      <c r="E348" t="inlineStr">
        <is>
          <t>~</t>
        </is>
      </c>
      <c r="F348" t="inlineStr">
        <is>
          <t>亓=亙=\</t>
        </is>
      </c>
      <c r="G348" t="inlineStr">
        <is>
          <t>~</t>
        </is>
      </c>
      <c r="H348" t="inlineStr"/>
      <c r="I348" t="inlineStr">
        <is>
          <t>亓=□=\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則可以有=\</t>
        </is>
      </c>
      <c r="D349" t="inlineStr">
        <is>
          <t>可以又=\</t>
        </is>
      </c>
      <c r="E349" t="inlineStr">
        <is>
          <t>~</t>
        </is>
      </c>
      <c r="F349" t="inlineStr">
        <is>
          <t>可以又=\</t>
        </is>
      </c>
      <c r="G349" t="inlineStr">
        <is>
          <t>~</t>
        </is>
      </c>
      <c r="H349" t="inlineStr">
        <is>
          <t>可以有=\</t>
        </is>
      </c>
      <c r="I349" t="inlineStr">
        <is>
          <t>□□有=\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可以長□\</t>
        </is>
      </c>
      <c r="E351" t="inlineStr">
        <is>
          <t>~</t>
        </is>
      </c>
      <c r="F351" t="inlineStr">
        <is>
          <t>可以長□\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□□□□□□\</t>
        </is>
      </c>
      <c r="E352" t="inlineStr">
        <is>
          <t>~</t>
        </is>
      </c>
      <c r="F352" t="inlineStr">
        <is>
          <t>□□□□□□\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>
        <is>
          <t>SPC_ORD</t>
        </is>
      </c>
      <c r="I354" t="inlineStr">
        <is>
          <t>SPC_ORD</t>
        </is>
      </c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•治大國若亨小鮮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□□□□□□□\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>
        <is>
          <t>SPC_ORD</t>
        </is>
      </c>
      <c r="I364" t="inlineStr">
        <is>
          <t>SPC_ORD</t>
        </is>
      </c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•大國者下游也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大國□□□□\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爲亓靚□\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則取小=\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則取小=\</t>
        </is>
      </c>
      <c r="I373" t="inlineStr">
        <is>
          <t>則取小=\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故或下□□\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或下□□\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□□□□□□□□□\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□□□□□□□□\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□□□□□\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夫皆得亓欲□\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>
        <is>
          <t>SPC_ORD</t>
        </is>
      </c>
      <c r="I382" t="inlineStr">
        <is>
          <t>SPC_ORD</t>
        </is>
      </c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•道者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奠行可以賀人\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奠行可以賀人\</t>
        </is>
      </c>
      <c r="I388" t="inlineStr">
        <is>
          <t>奠行可以賀人\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>
        <f>之不善</f>
        <v/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>
        <f>之不善也</f>
        <v/>
      </c>
      <c r="I389">
        <f>之不善</f>
        <v/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何□□□\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古□□□□□□□□\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>
        <is>
          <t>SPC_ORD</t>
        </is>
      </c>
      <c r="I400" t="inlineStr">
        <is>
          <t>SPC_ORD</t>
        </is>
      </c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•爲無爲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爲无爲\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□□□\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□□□\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□□\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□□\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□□□□\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圖難乎□□□\</t>
        </is>
      </c>
      <c r="I407" t="inlineStr">
        <is>
          <t>□□□□□□\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天下之大□□□\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□□□□□□□□\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故能□□□\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□□□□□□\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>
        <is>
          <t>SPC_ORD</t>
        </is>
      </c>
      <c r="I417" t="inlineStr">
        <is>
          <t>SPC_ORD</t>
        </is>
      </c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•其安易持也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•亓安也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□□□□\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易謀□\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𣌭□□□\</t>
        </is>
      </c>
      <c r="E428" t="inlineStr">
        <is>
          <t>𣌭□□□\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乍□□□\</t>
        </is>
      </c>
      <c r="E431" t="inlineStr">
        <is>
          <t>乍□□□\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□□□□\</t>
        </is>
      </c>
      <c r="E432" t="inlineStr">
        <is>
          <t>□□□□\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>
        <is>
          <t>SPC_ORD</t>
        </is>
      </c>
      <c r="I434" t="inlineStr">
        <is>
          <t>SPC_ORD</t>
        </is>
      </c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•爲者敗之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□□□□□\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□□□□□\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是以𦔻人无爲□\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□□□□\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□□□\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[((幺言)s斤z)]冬若[詞#口-]，%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則無敗事壴。%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人之敗也，%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亙於亓𠭯成也敗之。%</t>
        </is>
      </c>
      <c r="H444" t="inlineStr">
        <is>
          <t>則□□□□\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而弗敢爲\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>
        <is>
          <t>SPC_ORD</t>
        </is>
      </c>
      <c r="I451" t="inlineStr">
        <is>
          <t>SPC_ORD</t>
        </is>
      </c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•古之爲道者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非以明□□\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故以智=國\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故以知=邦\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>
        <f>之賊也</f>
        <v/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>
        <f>之賊也</f>
        <v/>
      </c>
      <c r="I458">
        <f>之賊也</f>
        <v/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以不智=國\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以不知=邦\</t>
        </is>
      </c>
      <c r="I459" t="inlineStr">
        <is>
          <t>以不知=國\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>
        <f>之德也</f>
        <v/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>
        <f>之德也</f>
        <v/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是謂玄=\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此胃玄=\</t>
        </is>
      </c>
      <c r="I464" t="inlineStr">
        <is>
          <t>是胃玄=\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遠□\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□□□□\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乃□□□\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>
        <is>
          <t>SPC_ORD</t>
        </is>
      </c>
      <c r="I469" t="inlineStr">
        <is>
          <t>SPC_ORD</t>
        </is>
      </c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•江海之所以能爲百谷王者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聖人之才民前也，%</t>
        </is>
      </c>
      <c r="E473" t="inlineStr">
        <is>
          <t>聖人之才民前也，%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以身後之；%</t>
        </is>
      </c>
      <c r="E475" t="inlineStr">
        <is>
          <t>以身後之；%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亓才民上也，%</t>
        </is>
      </c>
      <c r="E476" t="inlineStr">
        <is>
          <t>亓才民上也，%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以言下之。%</t>
        </is>
      </c>
      <c r="E477" t="inlineStr">
        <is>
          <t>以言下之。%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>
        <is>
          <t>SPC_ORD</t>
        </is>
      </c>
      <c r="I486" t="inlineStr">
        <is>
          <t>SPC_ORD</t>
        </is>
      </c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•天下皆謂我大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□□□□□□\</t>
        </is>
      </c>
      <c r="I487" t="inlineStr">
        <is>
          <t>天下□胃我大\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>
        <f>而不宵</f>
        <v/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夫唯不宵，%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故能大；%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□□□□□□□□\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□□\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□□□\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□\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>
        <is>
          <t>SPC_ORD</t>
        </is>
      </c>
      <c r="I513" t="inlineStr">
        <is>
          <t>SPC_ORD</t>
        </is>
      </c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•善爲士者不武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>
        <is>
          <t>SPC_ORD</t>
        </is>
      </c>
      <c r="I522" t="inlineStr">
        <is>
          <t>SPC_ORD</t>
        </is>
      </c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•用兵有言曰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•用兵有言曰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執無兵，%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執无兵，%</t>
        </is>
      </c>
      <c r="I528" t="inlineStr">
        <is>
          <t>執无兵，%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執無兵，%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乃無適。%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乃无敵矣。%</t>
        </is>
      </c>
      <c r="I529" t="inlineStr">
        <is>
          <t>乃无敵。%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仍無敵。%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禍莫大於無=\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禍莫大於無=\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>
        <is>
          <t>SPC_ORD</t>
        </is>
      </c>
      <c r="I534" t="inlineStr">
        <is>
          <t>SPC_ORD</t>
        </is>
      </c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•吾言甚易智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是以不吾智\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是以不□□\</t>
        </is>
      </c>
      <c r="I542" t="inlineStr">
        <is>
          <t>是以不我知\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>
        <f>我者希</f>
        <v/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□□□□\</t>
        </is>
      </c>
      <c r="I543">
        <f>者希</f>
        <v/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>
        <is>
          <t>SPC_ORD</t>
        </is>
      </c>
      <c r="I546" t="inlineStr">
        <is>
          <t>SPC_ORD</t>
        </is>
      </c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•智不智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不智=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不=知=</t>
        </is>
      </c>
      <c r="I549" t="inlineStr">
        <is>
          <t>不知=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夫唯病=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以其不病□□\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以亓□□□\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□□□□\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>
        <is>
          <t>SPC_ORD</t>
        </is>
      </c>
      <c r="I556" t="inlineStr">
        <is>
          <t>SPC_ORD</t>
        </is>
      </c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•】□不畏威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□□□畏=</t>
        </is>
      </c>
      <c r="I557" t="inlineStr">
        <is>
          <t>民之不畏=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•毋閘亓所居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是□□□\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>
        <is>
          <t>SPC_ORD</t>
        </is>
      </c>
      <c r="I566" t="inlineStr">
        <is>
          <t>SPC_ORD</t>
        </is>
      </c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•勇於敢則殺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•勇於敢者□□\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□□□\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□□□□\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□□□□\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□□□□\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□□□\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□□□□□\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天罔怪=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□□□□\</t>
        </is>
      </c>
      <c r="I579" t="inlineStr">
        <is>
          <t>天罔[礻圣]=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□□□□\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>
        <is>
          <t>SPC_ORD</t>
        </is>
      </c>
      <c r="I581" t="inlineStr">
        <is>
          <t>SPC_ORD</t>
        </is>
      </c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•民恒不畏死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□□□□□□□\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>
        <is>
          <t>SPC_ORD</t>
        </is>
      </c>
      <c r="I594" t="inlineStr">
        <is>
          <t>SPC_ORD</t>
        </is>
      </c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•人之飢也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•人之飢也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•民之巠死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>
        <is>
          <t>SPC_ORD</t>
        </is>
      </c>
      <c r="I606" t="inlineStr">
        <is>
          <t>SPC_ORD</t>
        </is>
      </c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•人之生也柔弱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•人之生也柔弱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>
        <is>
          <t>SPC_ORD</t>
        </is>
      </c>
      <c r="I618" t="inlineStr">
        <is>
          <t>SPC_ORD</t>
        </is>
      </c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•天之道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天下□□\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□□□□\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□□□□□\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□□□□□□□□\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□□□□□□\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>
        <is>
          <t>SPC_ORD</t>
        </is>
      </c>
      <c r="I636" t="inlineStr">
        <is>
          <t>SPC_ORD</t>
        </is>
      </c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•天下莫柔弱於水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□□□□□□□□□\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以亓无□易□□\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□□□□\</t>
        </is>
      </c>
      <c r="I640" t="inlineStr">
        <is>
          <t>水之朕剛也，%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弱之朕强也，%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>
        <is>
          <t>SPC_ORD</t>
        </is>
      </c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>
        <is>
          <t>SPC_ORD</t>
        </is>
      </c>
      <c r="I651" t="inlineStr">
        <is>
          <t>SPC_ORD</t>
        </is>
      </c>
      <c r="J651" t="inlineStr">
        <is>
          <t>78</t>
        </is>
      </c>
      <c r="K651" t="inlineStr">
        <is>
          <t>78</t>
        </is>
      </c>
      <c r="L651" t="inlineStr">
        <is>
          <t>SPC_ORD</t>
        </is>
      </c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禾大□\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□□□□\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□□□□\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□□□□\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>
        <is>
          <t>SPC_ORD</t>
        </is>
      </c>
      <c r="I662" t="inlineStr">
        <is>
          <t>SPC_ORD</t>
        </is>
      </c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•小國寡民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•小邦𪟊民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无所陳□\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民□□□□□□□\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>
        <is>
          <t>SPC_ORD</t>
        </is>
      </c>
      <c r="I680" t="inlineStr">
        <is>
          <t>SPC_ORD</t>
        </is>
      </c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•信言不美\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□□□□\</t>
        </is>
      </c>
      <c r="I681" t="inlineStr">
        <is>
          <t>信言不美\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>
        <f>言不信</f>
        <v/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>
        <f>言不信</f>
        <v/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智者不博\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知者不博\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>
        <f>者不智</f>
        <v/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>
        <f>者不知</f>
        <v/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善者不辯\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善□□□\</t>
        </is>
      </c>
      <c r="I685" t="inlineStr">
        <is>
          <t>善者不多\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>
        <f>者不善</f>
        <v/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>
        <f>者不善</f>
        <v/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•聖人无□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>
        <is>
          <t>SPC_ORD</t>
        </is>
      </c>
      <c r="I697" t="inlineStr">
        <is>
          <t>SPC_ORD</t>
        </is>
      </c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•道可道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•道可道也</t>
        </is>
      </c>
      <c r="I698" t="inlineStr">
        <is>
          <t>道可道也\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□□□□\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□□□□\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>
        <is>
          <t>SPC_ORD</t>
        </is>
      </c>
      <c r="I714" t="inlineStr">
        <is>
          <t>SPC_ORD</t>
        </is>
      </c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•天下皆智美之爲美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行□□□□\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>
        <is>
          <t>SPC_ORD</t>
        </is>
      </c>
      <c r="I734" t="inlineStr">
        <is>
          <t>SPC_ORD</t>
        </is>
      </c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•不上賢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□□□□\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□□□□□□\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□民不爲□\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不□□□\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是以聲人之□□\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□□□\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□□□\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□□□\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使□□□□\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□□□□\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□□□□□\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>
        <is>
          <t>SPC_ORD</t>
        </is>
      </c>
      <c r="I751" t="inlineStr">
        <is>
          <t>SPC_ORD</t>
        </is>
      </c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>
        <is>
          <t>SPC_ORD</t>
        </is>
      </c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•道沖而用之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□□□□□\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淵兮\</t>
        </is>
      </c>
      <c r="K754" t="inlineStr">
        <is>
          <t>淵乎\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淵兮\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同□□\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>
        <is>
          <t>SPC_ORD</t>
        </is>
      </c>
      <c r="I763" t="inlineStr">
        <is>
          <t>SPC_ORD</t>
        </is>
      </c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>
        <is>
          <t>SPC_ORD</t>
        </is>
      </c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•天地不仁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>
        <is>
          <t>SPC_ORD</t>
        </is>
      </c>
      <c r="I774" t="inlineStr">
        <is>
          <t>SPC_ORD</t>
        </is>
      </c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>
        <is>
          <t>SPC_ORD</t>
        </is>
      </c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•谷神不死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是謂玄=\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是胃玄=\</t>
        </is>
      </c>
      <c r="I776" t="inlineStr">
        <is>
          <t>是胃玄=\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>
        <is>
          <t>SPC_ORD</t>
        </is>
      </c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>
        <is>
          <t>SPC_ORD</t>
        </is>
      </c>
      <c r="I781" t="inlineStr">
        <is>
          <t>SPC_ORD</t>
        </is>
      </c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>
        <is>
          <t>SPC_ORD</t>
        </is>
      </c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>
        <is>
          <t>SPC_ORD</t>
        </is>
      </c>
      <c r="I791" t="inlineStr">
        <is>
          <t>SPC_ORD</t>
        </is>
      </c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>
        <is>
          <t>SPC_ORD</t>
        </is>
      </c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•上善如水\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上善治水\</t>
        </is>
      </c>
      <c r="I792" t="inlineStr">
        <is>
          <t>上善如水\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>
        <f>善利萬物而有爭</f>
        <v/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>
        <f>善利萬物而有靜</f>
        <v/>
      </c>
      <c r="I793">
        <f>善利萬物而有爭</f>
        <v/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>
        <is>
          <t>SPC_ORD</t>
        </is>
      </c>
      <c r="I806" t="inlineStr">
        <is>
          <t>SPC_ORD</t>
        </is>
      </c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>
        <is>
          <t>SPC_ORD</t>
        </is>
      </c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•持而盈之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㨁而盈之\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不□□□\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>
        <is>
          <t>SPC_ORD</t>
        </is>
      </c>
      <c r="I819" t="inlineStr">
        <is>
          <t>SPC_ORD</t>
        </is>
      </c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>
        <is>
          <t>SPC_ORD</t>
        </is>
      </c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•載熒魄抱一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□□□□□\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□□□□\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□□□□\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愛□□□\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□□□□□\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□□□□\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□□□□\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□□□□\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□□□□□\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生而弗□\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□□□□\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>
        <is>
          <t>SPC_ORD</t>
        </is>
      </c>
      <c r="I837" t="inlineStr">
        <is>
          <t>SPC_ORD</t>
        </is>
      </c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>
        <is>
          <t>SPC_ORD</t>
        </is>
      </c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•卅輻同一轂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卅□□□□\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有埴器□□□\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□□□\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>
        <is>
          <t>SPC_ORD</t>
        </is>
      </c>
      <c r="I849" t="inlineStr">
        <is>
          <t>SPC_ORD</t>
        </is>
      </c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>
        <is>
          <t>SPC_ORD</t>
        </is>
      </c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•五色令人目盳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敺騁田獵令人心發狂，%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馳騁田臘使人□□□，%</t>
        </is>
      </c>
      <c r="I851" t="inlineStr">
        <is>
          <t>馳騁田臘使人心發狂，%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難得之貨令人行方，%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難得之[𠊰貝s]使人之行方，%</t>
        </is>
      </c>
      <c r="I852" t="inlineStr">
        <is>
          <t>難得之貨○使人之行仿，%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五味令人之口爽，%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五味使人之口𠷹，%</t>
        </is>
      </c>
      <c r="I853" t="inlineStr">
        <is>
          <t>五味使人之口爽，%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五音令人之耳聾。%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五音使人之耳聾。%</t>
        </is>
      </c>
      <c r="I854" t="inlineStr">
        <is>
          <t>五音使人之耳□。%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>
        <is>
          <t>SPC_ORD</t>
        </is>
      </c>
      <c r="I858" t="inlineStr">
        <is>
          <t>SPC_ORD</t>
        </is>
      </c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>
        <is>
          <t>SPC_ORD</t>
        </is>
      </c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•寵辱若□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或可□\</t>
        </is>
      </c>
      <c r="E872" t="inlineStr">
        <is>
          <t>~</t>
        </is>
      </c>
      <c r="F872" t="inlineStr">
        <is>
          <t>或可□\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若可以橐天下；%</t>
        </is>
      </c>
      <c r="D874" t="inlineStr">
        <is>
          <t>若可以厇天下矣；%</t>
        </is>
      </c>
      <c r="E874" t="inlineStr">
        <is>
          <t>~</t>
        </is>
      </c>
      <c r="F874" t="inlineStr">
        <is>
          <t>若可以厇天下矣；%</t>
        </is>
      </c>
      <c r="G874" t="inlineStr">
        <is>
          <t>~</t>
        </is>
      </c>
      <c r="H874" t="inlineStr">
        <is>
          <t>若可以𨒙天下矣；%</t>
        </is>
      </c>
      <c r="I874" t="inlineStr">
        <is>
          <t>若可以橐天下□；%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若可託天下；〕@%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若可以寄天下。%</t>
        </is>
      </c>
      <c r="D876" t="inlineStr">
        <is>
          <t>若可以迲天下矣。%</t>
        </is>
      </c>
      <c r="E876" t="inlineStr">
        <is>
          <t>~</t>
        </is>
      </c>
      <c r="F876" t="inlineStr">
        <is>
          <t>若可以迲天下矣。%</t>
        </is>
      </c>
      <c r="G876" t="inlineStr">
        <is>
          <t>~</t>
        </is>
      </c>
      <c r="H876" t="inlineStr">
        <is>
          <t>女可以寄天下。%</t>
        </is>
      </c>
      <c r="I876" t="inlineStr">
        <is>
          <t>女可以寄天下矣。%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若可寄天下。%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>
        <is>
          <t>SPC_ORD</t>
        </is>
      </c>
      <c r="I877" t="inlineStr">
        <is>
          <t>SPC_ORD</t>
        </is>
      </c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>
        <is>
          <t>SPC_ORD</t>
        </is>
      </c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•視而弗見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故𡇯□□□\</t>
        </is>
      </c>
      <c r="I886" t="inlineStr">
        <is>
          <t>故𦀲而爲一\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>
        <f>者，`逗號斷句</f>
        <v/>
      </c>
      <c r="I887">
        <f>者，`逗號斷句</f>
        <v/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台=微=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无物之□\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□□□□\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隨而不見其後，%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□□□□□□\%</t>
        </is>
      </c>
      <c r="I896" t="inlineStr">
        <is>
          <t>隋而不見亓後，%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迎而不見其首。%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□而不見其首。%</t>
        </is>
      </c>
      <c r="I897" t="inlineStr">
        <is>
          <t>迎而不見亓首。%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>
        <is>
          <t>SPC_ORD</t>
        </is>
      </c>
      <c r="I902" t="inlineStr">
        <is>
          <t>SPC_ORD</t>
        </is>
      </c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>
        <is>
          <t>SPC_ORD</t>
        </is>
      </c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•古之爲士者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□□□□□□\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□□□□\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與呵其若冬□□\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沌虖其如濁，%</t>
        </is>
      </c>
      <c r="D913" t="inlineStr">
        <is>
          <t>坉[虎口b]亓奴濁。%</t>
        </is>
      </c>
      <c r="E913" t="inlineStr">
        <is>
          <t>坉[虎口b]亓奴濁。%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湷□□□□\%</t>
        </is>
      </c>
      <c r="I913" t="inlineStr">
        <is>
          <t>湷呵亓若濁，%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廣虖其如浴。%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□□□若浴。%</t>
        </is>
      </c>
      <c r="I914" t="inlineStr">
        <is>
          <t>𣼥呵亓若浴。%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夫唯不欲□\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>
        <is>
          <t>SPC_ORD</t>
        </is>
      </c>
      <c r="I922" t="inlineStr">
        <is>
          <t>SPC_ORD</t>
        </is>
      </c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>
        <is>
          <t>SPC_ORD</t>
        </is>
      </c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•至虛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天物云=</t>
        </is>
      </c>
      <c r="D929" t="inlineStr">
        <is>
          <t>天道員=</t>
        </is>
      </c>
      <c r="E929" t="inlineStr">
        <is>
          <t>天道員=</t>
        </is>
      </c>
      <c r="F929" t="inlineStr">
        <is>
          <t>~</t>
        </is>
      </c>
      <c r="G929" t="inlineStr">
        <is>
          <t>~</t>
        </is>
      </c>
      <c r="H929" t="inlineStr">
        <is>
          <t>天物雲=</t>
        </is>
      </c>
      <c r="I929" t="inlineStr">
        <is>
          <t>天物𥘟=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各復歸於其□\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曰靜\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□□\</t>
        </is>
      </c>
      <c r="I931" t="inlineStr">
        <is>
          <t>曰靜\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>
        <f>曰復=\</f>
        <v/>
      </c>
      <c r="D932" t="inlineStr"/>
      <c r="E932" t="inlineStr"/>
      <c r="F932" t="inlineStr">
        <is>
          <t>~</t>
        </is>
      </c>
      <c r="G932" t="inlineStr">
        <is>
          <t>~</t>
        </is>
      </c>
      <c r="H932">
        <f>是胃復=\</f>
        <v/>
      </c>
      <c r="I932">
        <f>是胃復=\</f>
        <v/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命=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命=\</t>
        </is>
      </c>
      <c r="I933" t="inlineStr">
        <is>
          <t>命=\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智常曰容\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知常容\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>
        <f>乃公\</f>
        <v/>
      </c>
      <c r="D941" t="inlineStr"/>
      <c r="E941" t="inlineStr"/>
      <c r="F941" t="inlineStr">
        <is>
          <t>~</t>
        </is>
      </c>
      <c r="G941" t="inlineStr">
        <is>
          <t>~</t>
        </is>
      </c>
      <c r="H941">
        <f>乃公\</f>
        <v/>
      </c>
      <c r="I941">
        <f>乃公</f>
        <v/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>
        <f>乃王\</f>
        <v/>
      </c>
      <c r="D942" t="inlineStr"/>
      <c r="E942" t="inlineStr"/>
      <c r="F942" t="inlineStr">
        <is>
          <t>~</t>
        </is>
      </c>
      <c r="G942" t="inlineStr">
        <is>
          <t>~</t>
        </is>
      </c>
      <c r="H942">
        <f>乃王\</f>
        <v/>
      </c>
      <c r="I942">
        <f>乃王</f>
        <v/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>
        <f>乃天\</f>
        <v/>
      </c>
      <c r="D943" t="inlineStr"/>
      <c r="E943" t="inlineStr"/>
      <c r="F943" t="inlineStr">
        <is>
          <t>~</t>
        </is>
      </c>
      <c r="G943" t="inlineStr">
        <is>
          <t>~</t>
        </is>
      </c>
      <c r="H943">
        <f>乃天\</f>
        <v/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>
        <f>乃道\</f>
        <v/>
      </c>
      <c r="D944" t="inlineStr"/>
      <c r="E944" t="inlineStr"/>
      <c r="F944" t="inlineStr">
        <is>
          <t>~</t>
        </is>
      </c>
      <c r="G944" t="inlineStr">
        <is>
          <t>~</t>
        </is>
      </c>
      <c r="H944">
        <f>乃道\</f>
        <v/>
      </c>
      <c r="I944">
        <f>乃道</f>
        <v/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>
        <f>乃久</f>
        <v/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>
        <f>乃*</f>
        <v/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>
        <is>
          <t>SPC_ORD</t>
        </is>
      </c>
      <c r="I947" t="inlineStr">
        <is>
          <t>SPC_ORD</t>
        </is>
      </c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>
        <is>
          <t>SPC_ORD</t>
        </is>
      </c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•大上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>
        <is>
          <t>SPC_ORD</t>
        </is>
      </c>
      <c r="D963" t="inlineStr">
        <is>
          <t>SPC_ORD</t>
        </is>
      </c>
      <c r="E963" t="inlineStr">
        <is>
          <t>~</t>
        </is>
      </c>
      <c r="F963" t="inlineStr">
        <is>
          <t>~</t>
        </is>
      </c>
      <c r="G963" t="inlineStr">
        <is>
          <t>SPC_ORD</t>
        </is>
      </c>
      <c r="H963" t="inlineStr">
        <is>
          <t>SPC_ORD</t>
        </is>
      </c>
      <c r="I963" t="inlineStr">
        <is>
          <t>SPC_ORD</t>
        </is>
      </c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>
        <is>
          <t>SPC_ORD</t>
        </is>
      </c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>
        <is>
          <t>SPC_ORD</t>
        </is>
      </c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>
        <is>
          <t>SPC_ORD</t>
        </is>
      </c>
      <c r="I972" t="inlineStr">
        <is>
          <t>SPC_ORD</t>
        </is>
      </c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>
        <is>
          <t>SPC_ORD</t>
        </is>
      </c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[㡭#𢆶厶=𢆶厶=]攷弃利，%</t>
        </is>
      </c>
      <c r="E975" t="inlineStr">
        <is>
          <t>[㡭#𢆶厶=𢆶厶=]攷弃利，%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覜惻亡又；%</t>
        </is>
      </c>
      <c r="E976" t="inlineStr">
        <is>
          <t>覜惻亡又；%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[㡭#𢆶厶=𢆶厶=][忄為]弃[虘心b]，%</t>
        </is>
      </c>
      <c r="E977" t="inlineStr">
        <is>
          <t>[㡭#𢆶厶=𢆶厶=][忄為]弃[虘心b]，%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民复季子。%</t>
        </is>
      </c>
      <c r="E978" t="inlineStr">
        <is>
          <t>民复季子。%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見素抱□\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□□□□\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>
        <is>
          <t>SPC_ORD</t>
        </is>
      </c>
      <c r="I984" t="inlineStr">
        <is>
          <t>SPC_ORD</t>
        </is>
      </c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>
        <is>
          <t>SPC_ORD</t>
        </is>
      </c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•絶學無憂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□□□□\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亦不□□□□\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□□\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□□□□\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眾人巸=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眾人巸=</t>
        </is>
      </c>
      <c r="I994" t="inlineStr">
        <is>
          <t>眾人巸=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如□□□\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猷人昭=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鬻□□□\</t>
        </is>
      </c>
      <c r="I1005" t="inlineStr">
        <is>
          <t>鬻人昭=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猷人計=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鬻人蔡=</t>
        </is>
      </c>
      <c r="I1007" t="inlineStr">
        <is>
          <t>鬻人察=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我獨昏=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□□□□□\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>
        <is>
          <t>SPC_ORD</t>
        </is>
      </c>
      <c r="I1017" t="inlineStr">
        <is>
          <t>SPC_ORD</t>
        </is>
      </c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>
        <is>
          <t>SPC_ORD</t>
        </is>
      </c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•孔德之容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唯[言亡]唯没\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唯[𢼧王s]唯𢗘\</t>
        </is>
      </c>
      <c r="I1021" t="inlineStr">
        <is>
          <t>唯朢唯沕\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>
        <f>旖[言亡]旖</f>
        <v/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>
        <f>呵朢呵</f>
        <v/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慌惚中有物，%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惚慌中有像。%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>
        <is>
          <t>SPC_ORD</t>
        </is>
      </c>
      <c r="I1035" t="inlineStr">
        <is>
          <t>SPC_ORD</t>
        </is>
      </c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>
        <is>
          <t>SPC_ORD</t>
        </is>
      </c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•曲則全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不自視故章，%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不自是故章，%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不自見也故明，%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不自見故明，%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古□□□□□□\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>
        <is>
          <t>SPC_ORD</t>
        </is>
      </c>
      <c r="I1052" t="inlineStr">
        <is>
          <t>SPC_ORD</t>
        </is>
      </c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>
        <is>
          <t>SPC_ORD</t>
        </is>
      </c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•希言自然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天地□□□□\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>
        <is>
          <t>SPC_ORD</t>
        </is>
      </c>
      <c r="I1074" t="inlineStr">
        <is>
          <t>SPC_ORD</t>
        </is>
      </c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>
        <is>
          <t>SPC_ORD</t>
        </is>
      </c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•炊者不立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自視不章，%</t>
        </is>
      </c>
      <c r="I1077" t="inlineStr">
        <is>
          <t>自視者不章，%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□見者不明，%</t>
        </is>
      </c>
      <c r="I1078" t="inlineStr">
        <is>
          <t>自見者不明，%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>
        <is>
          <t>SPC_ORD</t>
        </is>
      </c>
      <c r="I1085" t="inlineStr">
        <is>
          <t>SPC_ORD</t>
        </is>
      </c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>
        <is>
          <t>SPC_ORD</t>
        </is>
      </c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•有物綸成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吾强爲之名曰大\</t>
        </is>
      </c>
      <c r="D1094" t="inlineStr">
        <is>
          <t>𫊟[(弓(𠮡力s)z)]爲之明曰大\</t>
        </is>
      </c>
      <c r="E1094" t="inlineStr">
        <is>
          <t>𫊟[(弓(𠮡力s)z)]爲之明曰大\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吾强爲之名曰大\</t>
        </is>
      </c>
      <c r="I1094" t="inlineStr">
        <is>
          <t>吾强爲之名曰大\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>
        <f>曰慸\</f>
        <v/>
      </c>
      <c r="D1095">
        <f>曰[(氵(立𠂤s)(欠臼s)z)]\</f>
        <v/>
      </c>
      <c r="E1095">
        <f>曰[(氵(立𠂤s)(欠臼s)z)]\</f>
        <v/>
      </c>
      <c r="F1095" t="inlineStr">
        <is>
          <t>~</t>
        </is>
      </c>
      <c r="G1095" t="inlineStr">
        <is>
          <t>~</t>
        </is>
      </c>
      <c r="H1095" t="inlineStr">
        <is>
          <t>□曰筮\</t>
        </is>
      </c>
      <c r="I1095">
        <f>曰筮\</f>
        <v/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>
        <f>曰遠\</f>
        <v/>
      </c>
      <c r="D1096">
        <f>曰[惠#心辶=]\</f>
        <v/>
      </c>
      <c r="E1096">
        <f>曰[惠#心辶=]\</f>
        <v/>
      </c>
      <c r="F1096" t="inlineStr">
        <is>
          <t>~</t>
        </is>
      </c>
      <c r="G1096" t="inlineStr">
        <is>
          <t>~</t>
        </is>
      </c>
      <c r="H1096">
        <f>曰□\</f>
        <v/>
      </c>
      <c r="I1096">
        <f>曰遠\</f>
        <v/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>
        <f>曰反</f>
        <v/>
      </c>
      <c r="D1097">
        <f>曰反</f>
        <v/>
      </c>
      <c r="E1097">
        <f>曰反</f>
        <v/>
      </c>
      <c r="F1097" t="inlineStr">
        <is>
          <t>~</t>
        </is>
      </c>
      <c r="G1097" t="inlineStr">
        <is>
          <t>~</t>
        </is>
      </c>
      <c r="H1097" t="inlineStr">
        <is>
          <t>□□□\</t>
        </is>
      </c>
      <c r="I1097">
        <f>曰反</f>
        <v/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天大，%</t>
        </is>
      </c>
      <c r="D1098" t="inlineStr">
        <is>
          <t>天大，%</t>
        </is>
      </c>
      <c r="E1098" t="inlineStr">
        <is>
          <t>天大，%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地大，%</t>
        </is>
      </c>
      <c r="D1099" t="inlineStr">
        <is>
          <t>[陀土s]大，%</t>
        </is>
      </c>
      <c r="E1099" t="inlineStr">
        <is>
          <t>[陀土s]大，%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道大，%</t>
        </is>
      </c>
      <c r="D1100" t="inlineStr">
        <is>
          <t>道大，%</t>
        </is>
      </c>
      <c r="E1100" t="inlineStr">
        <is>
          <t>道大，%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人灋地\</t>
        </is>
      </c>
      <c r="D1104" t="inlineStr">
        <is>
          <t>人灋[陀土s]\</t>
        </is>
      </c>
      <c r="E1104" t="inlineStr">
        <is>
          <t>人灋[陀土s]\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人法地\</t>
        </is>
      </c>
      <c r="I1104" t="inlineStr">
        <is>
          <t>人法地\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>
        <f>灋天\</f>
        <v/>
      </c>
      <c r="D1105">
        <f>灋天\</f>
        <v/>
      </c>
      <c r="E1105">
        <f>灋天\</f>
        <v/>
      </c>
      <c r="F1105" t="inlineStr">
        <is>
          <t>~</t>
        </is>
      </c>
      <c r="G1105" t="inlineStr">
        <is>
          <t>~</t>
        </is>
      </c>
      <c r="H1105" t="inlineStr">
        <is>
          <t>□法□\</t>
        </is>
      </c>
      <c r="I1105">
        <f>法天\</f>
        <v/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>
        <f>灋道\</f>
        <v/>
      </c>
      <c r="D1106">
        <f>灋道\</f>
        <v/>
      </c>
      <c r="E1106">
        <f>灋道\</f>
        <v/>
      </c>
      <c r="F1106" t="inlineStr">
        <is>
          <t>~</t>
        </is>
      </c>
      <c r="G1106" t="inlineStr">
        <is>
          <t>~</t>
        </is>
      </c>
      <c r="H1106">
        <f>法□\</f>
        <v/>
      </c>
      <c r="I1106">
        <f>法道\</f>
        <v/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>
        <f>灋自然</f>
        <v/>
      </c>
      <c r="D1107">
        <f>灋自肰</f>
        <v/>
      </c>
      <c r="E1107">
        <f>灋自肰</f>
        <v/>
      </c>
      <c r="F1107" t="inlineStr">
        <is>
          <t>~</t>
        </is>
      </c>
      <c r="G1107" t="inlineStr">
        <is>
          <t>~</t>
        </is>
      </c>
      <c r="H1107" t="inlineStr">
        <is>
          <t>□法□□\</t>
        </is>
      </c>
      <c r="I1107">
        <f>法自然</f>
        <v/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>
        <is>
          <t>SPC_ORD</t>
        </is>
      </c>
      <c r="I1108" t="inlineStr">
        <is>
          <t>SPC_ORD</t>
        </is>
      </c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>
        <is>
          <t>SPC_ORD</t>
        </is>
      </c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•重爲輕根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燕處□□若\</t>
        </is>
      </c>
      <c r="I1114" t="inlineStr">
        <is>
          <t>燕處則昭若\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>
        <f>何萬乘之王</f>
        <v/>
      </c>
      <c r="I1115">
        <f>何萬乘之王</f>
        <v/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>
        <is>
          <t>SPC_ORD</t>
        </is>
      </c>
      <c r="I1119" t="inlineStr">
        <is>
          <t>SPC_ORD</t>
        </is>
      </c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>
        <is>
          <t>SPC_ORD</t>
        </is>
      </c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•善行者無勶迹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善=\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故善□\</t>
        </is>
      </c>
      <c r="I1132" t="inlineStr">
        <is>
          <t>故善=\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不善=\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>
        <is>
          <t>SPC_ORD</t>
        </is>
      </c>
      <c r="I1140" t="inlineStr">
        <is>
          <t>SPC_ORD</t>
        </is>
      </c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>
        <is>
          <t>SPC_ORD</t>
        </is>
      </c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•智其雄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爲=天=\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爲=天=\</t>
        </is>
      </c>
      <c r="I1143" t="inlineStr">
        <is>
          <t>爲=天=\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下=谿=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下=溪=</t>
        </is>
      </c>
      <c r="I1144" t="inlineStr">
        <is>
          <t>下=雞=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恒=德=\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不=雞=</t>
        </is>
      </c>
      <c r="I1146" t="inlineStr">
        <is>
          <t>不=离=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復□□□□\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守其辱，%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守其辱，%</t>
        </is>
      </c>
      <c r="I1149" t="inlineStr">
        <is>
          <t>守亓辱，%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爲=天=\%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爲=天=\%</t>
        </is>
      </c>
      <c r="I1150" t="inlineStr">
        <is>
          <t>爲=天=\%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下=谷=，%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下=○浴=，%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恒德乃足，%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恒=德=\%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乃=□□\%</t>
        </is>
      </c>
      <c r="I1153" t="inlineStr">
        <is>
          <t>乃=足=，%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復歸於樸。%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□□□□。%</t>
        </is>
      </c>
      <c r="I1154" t="inlineStr">
        <is>
          <t>復歸於樸。%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智其白，%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知其，%</t>
        </is>
      </c>
      <c r="I1155" t="inlineStr">
        <is>
          <t>知亓白，%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守其黑，%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守其黑，%</t>
        </is>
      </c>
      <c r="I1156" t="inlineStr">
        <is>
          <t>守亓黑，%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爲=天=\%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爲=天=\%</t>
        </is>
      </c>
      <c r="I1157" t="inlineStr">
        <is>
          <t>爲=天=\%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下=武=，%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下=式=，%</t>
        </is>
      </c>
      <c r="I1158" t="inlineStr">
        <is>
          <t>下=式=，%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恒德不貣，%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恒=德=\%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不=貣=，%</t>
        </is>
      </c>
      <c r="I1160" t="inlineStr">
        <is>
          <t>不=貸=，%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復歸於無極。%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復歸於无極。%</t>
        </is>
      </c>
      <c r="I1161" t="inlineStr">
        <is>
          <t>復歸於无極。%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楃散□□□\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>
        <is>
          <t>SPC_ORD</t>
        </is>
      </c>
      <c r="I1165" t="inlineStr">
        <is>
          <t>SPC_ORD</t>
        </is>
      </c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>
        <is>
          <t>SPC_ORD</t>
        </is>
      </c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•大制無畍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將欲取□□□□□\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非可爲\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>
        <f>之者敗之</f>
        <v/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或炅或□\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□□□□\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>
        <is>
          <t>SPC_ORD</t>
        </is>
      </c>
      <c r="I1180" t="inlineStr">
        <is>
          <t>SPC_ORD</t>
        </is>
      </c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>
        <is>
          <t>SPC_ORD</t>
        </is>
      </c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•以道佐人主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□□□□\</t>
        </is>
      </c>
      <c r="I1183" t="inlineStr">
        <is>
          <t>亓□□□\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□□□□\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果而弗癹，%</t>
        </is>
      </c>
      <c r="E1190" t="inlineStr">
        <is>
          <t>果而弗癹，%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果而勿矜，%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果而弗喬，%</t>
        </is>
      </c>
      <c r="E1191" t="inlineStr">
        <is>
          <t>果而弗喬，%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果而勿伐，%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果而弗[矛命]。%</t>
        </is>
      </c>
      <c r="E1192" t="inlineStr">
        <is>
          <t>果而弗[矛命]。%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果而勿驕，%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謂之不=\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是胃之不=\</t>
        </is>
      </c>
      <c r="I1196" t="inlineStr">
        <is>
          <t>胃之不=\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>
        <is>
          <t>SPC_ORD</t>
        </is>
      </c>
      <c r="I1199" t="inlineStr">
        <is>
          <t>SPC_ORD</t>
        </is>
      </c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>
        <is>
          <t>SPC_ORD</t>
        </is>
      </c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•夫觟美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物或亞□\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□□□□□□\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兵者\</t>
        </is>
      </c>
      <c r="E1207" t="inlineStr">
        <is>
          <t>~</t>
        </is>
      </c>
      <c r="F1207" t="inlineStr">
        <is>
          <t>~</t>
        </is>
      </c>
      <c r="G1207" t="inlineStr">
        <is>
          <t>兵者\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非君子之器也，%</t>
        </is>
      </c>
      <c r="D1208" t="inlineStr">
        <is>
          <t>□□□□□\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□□□□□\</t>
        </is>
      </c>
      <c r="H1208" t="inlineStr">
        <is>
          <t>非君子之器也。%</t>
        </is>
      </c>
      <c r="I1208" t="inlineStr">
        <is>
          <t>非君子之器。%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不恙之器也。%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□□不祥之器也。%</t>
        </is>
      </c>
      <c r="I1210" t="inlineStr">
        <is>
          <t>不祥□器也。%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是樂=\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之=是=樂=\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殺=人=\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是以吉事□□\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殺□□□\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>
        <is>
          <t>SPC_ORD</t>
        </is>
      </c>
      <c r="I1230" t="inlineStr">
        <is>
          <t>SPC_ORD</t>
        </is>
      </c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>
        <is>
          <t>SPC_ORD</t>
        </is>
      </c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•道恒無名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楃唯□\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□□□□□□\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始正有名\</t>
        </is>
      </c>
      <c r="D1239" t="inlineStr">
        <is>
          <t>[詞#口-]折又明\</t>
        </is>
      </c>
      <c r="E1239" t="inlineStr">
        <is>
          <t>[詞#口-]折又明\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始制有□\</t>
        </is>
      </c>
      <c r="I1239" t="inlineStr">
        <is>
          <t>始制有名\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>
        <f>亦既有</f>
        <v/>
      </c>
      <c r="D1240">
        <f>亦既又</f>
        <v/>
      </c>
      <c r="E1240">
        <f>亦既又</f>
        <v/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>
        <f>亦既有</f>
        <v/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夫亦將智=\</t>
        </is>
      </c>
      <c r="D1241" t="inlineStr">
        <is>
          <t>夫亦𨟻智=\</t>
        </is>
      </c>
      <c r="E1241" t="inlineStr">
        <is>
          <t>夫亦𨟻智=\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夫□□□□\</t>
        </is>
      </c>
      <c r="I1241" t="inlineStr">
        <is>
          <t>夫亦將知=\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俾道之在□□□\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>
        <is>
          <t>SPC_ORD</t>
        </is>
      </c>
      <c r="D1245" t="inlineStr">
        <is>
          <t>SPC_ORD</t>
        </is>
      </c>
      <c r="E1245" t="inlineStr">
        <is>
          <t>SPC_ORD</t>
        </is>
      </c>
      <c r="F1245" t="inlineStr">
        <is>
          <t>~</t>
        </is>
      </c>
      <c r="G1245" t="inlineStr">
        <is>
          <t>~</t>
        </is>
      </c>
      <c r="H1245" t="inlineStr">
        <is>
          <t>SPC_ORD</t>
        </is>
      </c>
      <c r="I1245" t="inlineStr">
        <is>
          <t>SPC_ORD</t>
        </is>
      </c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>
        <is>
          <t>SPC_ORD</t>
        </is>
      </c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自知者□□\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>
        <is>
          <t>SPC_ORD</t>
        </is>
      </c>
      <c r="I1254" t="inlineStr">
        <is>
          <t>SPC_ORD</t>
        </is>
      </c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>
        <is>
          <t>SPC_ORD</t>
        </is>
      </c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•道泛旖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道□□\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□□□□□\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>
        <is>
          <t>SPC_ORD</t>
        </is>
      </c>
      <c r="I1267" t="inlineStr">
        <is>
          <t>SPC_ORD</t>
        </is>
      </c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>
        <is>
          <t>SPC_ORD</t>
        </is>
      </c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•埶大象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天下往\</t>
        </is>
      </c>
      <c r="D1269" t="inlineStr">
        <is>
          <t>天下往\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天下往\</t>
        </is>
      </c>
      <c r="H1269" t="inlineStr">
        <is>
          <t>□□往\</t>
        </is>
      </c>
      <c r="I1269" t="inlineStr">
        <is>
          <t>天下往\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>
        <f>而不害</f>
        <v/>
      </c>
      <c r="D1270">
        <f>而不害</f>
        <v/>
      </c>
      <c r="E1270" t="inlineStr">
        <is>
          <t>~</t>
        </is>
      </c>
      <c r="F1270" t="inlineStr">
        <is>
          <t>~</t>
        </is>
      </c>
      <c r="G1270">
        <f>而不害</f>
        <v/>
      </c>
      <c r="H1270">
        <f>而不害</f>
        <v/>
      </c>
      <c r="I1270">
        <f>而不害</f>
        <v/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>
        <is>
          <t>SPC_ORD</t>
        </is>
      </c>
      <c r="I1279" t="inlineStr">
        <is>
          <t>SPC_ORD</t>
        </is>
      </c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>
        <is>
          <t>SPC_ORD</t>
        </is>
      </c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•將欲欱之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>
        <is>
          <t>SPC_ORD</t>
        </is>
      </c>
      <c r="I1294" t="inlineStr">
        <is>
          <t>SPC_ORD</t>
        </is>
      </c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>
        <is>
          <t>SPC_ORD</t>
        </is>
      </c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•道恒無爲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萬物將自化\</t>
        </is>
      </c>
      <c r="D1297" t="inlineStr">
        <is>
          <t>而萬勿𨟻自𢡺\</t>
        </is>
      </c>
      <c r="E1297" t="inlineStr">
        <is>
          <t>而萬勿𨟻自𢡺\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萬物將自𢡺\</t>
        </is>
      </c>
      <c r="I1297" t="inlineStr">
        <is>
          <t>萬物將自化\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>
        <f>而欲作</f>
        <v/>
      </c>
      <c r="D1298">
        <f>而𨿜[乍又s]</f>
        <v/>
      </c>
      <c r="E1298">
        <f>而𨿜[乍又s]</f>
        <v/>
      </c>
      <c r="F1298" t="inlineStr">
        <is>
          <t>~</t>
        </is>
      </c>
      <c r="G1298" t="inlineStr">
        <is>
          <t>~</t>
        </is>
      </c>
      <c r="H1298">
        <f>而欲□\</f>
        <v/>
      </c>
      <c r="I1298">
        <f>而欲作</f>
        <v/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吾將寘之以無=名=\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□□□□□□=名=\</t>
        </is>
      </c>
      <c r="I1299" t="inlineStr">
        <is>
          <t>吾將闐=之=以=无\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之=樸=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之=楃=</t>
        </is>
      </c>
      <c r="I1300">
        <f>名=之=樸=</f>
        <v/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夫亦將不=\</t>
        </is>
      </c>
      <c r="D1301" t="inlineStr">
        <is>
          <t>夫亦𨟻智\</t>
        </is>
      </c>
      <c r="E1301" t="inlineStr">
        <is>
          <t>夫亦𨟻智\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夫將不=\</t>
        </is>
      </c>
      <c r="I1301" t="inlineStr">
        <is>
          <t>夫將不=\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>
        <f>足以束</f>
        <v/>
      </c>
      <c r="E1302">
        <f>足以束</f>
        <v/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>
        <is>
          <t>SPC_ORD</t>
        </is>
      </c>
      <c r="I1305" t="inlineStr">
        <is>
          <t>SPC_ORD</t>
        </is>
      </c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>
        <is>
          <t>SPC_ORD</t>
        </is>
      </c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2025-12-27T08:35:59Z</dcterms:created>
  <dcterms:modified xsi:type="dcterms:W3CDTF">2025-12-27T08:36:00Z</dcterms:modified>
</cp:coreProperties>
</file>